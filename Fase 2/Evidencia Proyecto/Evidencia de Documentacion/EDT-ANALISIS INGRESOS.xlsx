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xA6v30pB7FVaOYP2ksMhykTNz6JaKhRf3QbOTJBtdAc="/>
    </ext>
  </extLst>
</workbook>
</file>

<file path=xl/sharedStrings.xml><?xml version="1.0" encoding="utf-8"?>
<sst xmlns="http://schemas.openxmlformats.org/spreadsheetml/2006/main" count="170" uniqueCount="102">
  <si>
    <t>FUENTE DE INFORMACION www.mifuturo.cl / www.universia.cl</t>
  </si>
  <si>
    <t>INGENIERIA INFORMÁTICA</t>
  </si>
  <si>
    <t>EXPERIENCIA</t>
  </si>
  <si>
    <t>SIGLA</t>
  </si>
  <si>
    <t>EDT- Planilla Estructura de Descomposición de Tareas</t>
  </si>
  <si>
    <t>ROL</t>
  </si>
  <si>
    <t>(- 2 años)</t>
  </si>
  <si>
    <t>(+2 años)</t>
  </si>
  <si>
    <t>RESPONS.</t>
  </si>
  <si>
    <t>SUELDO</t>
  </si>
  <si>
    <t>HH</t>
  </si>
  <si>
    <t>JP</t>
  </si>
  <si>
    <t>Jefe de Proyecto</t>
  </si>
  <si>
    <t>x</t>
  </si>
  <si>
    <t>ACTIVIDADES</t>
  </si>
  <si>
    <t>Horas por Actividad o entregable</t>
  </si>
  <si>
    <t>DICCIONARIO EDT</t>
  </si>
  <si>
    <t>Fase Análisis y Planificación</t>
  </si>
  <si>
    <t>Días</t>
  </si>
  <si>
    <t>AF</t>
  </si>
  <si>
    <t>PG</t>
  </si>
  <si>
    <t>DBA</t>
  </si>
  <si>
    <t>TS</t>
  </si>
  <si>
    <t>DI</t>
  </si>
  <si>
    <t>NOMBRE</t>
  </si>
  <si>
    <t>COSTO x HORA</t>
  </si>
  <si>
    <t>Kick Off</t>
  </si>
  <si>
    <t>Analista Funcional</t>
  </si>
  <si>
    <t>Programador</t>
  </si>
  <si>
    <t>Desarrollador BD</t>
  </si>
  <si>
    <t>JEFE DEPROYECTO</t>
  </si>
  <si>
    <t>Christian Lazcano</t>
  </si>
  <si>
    <t>Acta de Constitución de Proyecto</t>
  </si>
  <si>
    <t>Testing</t>
  </si>
  <si>
    <t>ANALISTA F</t>
  </si>
  <si>
    <t>Paula Castro</t>
  </si>
  <si>
    <t>Aprobación del Acta</t>
  </si>
  <si>
    <t>PROGRAMADOR</t>
  </si>
  <si>
    <t>José Veliz</t>
  </si>
  <si>
    <t>Diseñador</t>
  </si>
  <si>
    <t>Definición de Requerimientos Generales de Proyecto</t>
  </si>
  <si>
    <t>Hrs.Sem.</t>
  </si>
  <si>
    <t>HRS.Mens.</t>
  </si>
  <si>
    <t>ADMIN. BASE DATOS</t>
  </si>
  <si>
    <t>Gustavo Lorenzo</t>
  </si>
  <si>
    <t>Organización del Equipo</t>
  </si>
  <si>
    <t>Sueldo/180hrs</t>
  </si>
  <si>
    <t>TESTING</t>
  </si>
  <si>
    <t>María Ignacia Araos</t>
  </si>
  <si>
    <t>PROMEDIO</t>
  </si>
  <si>
    <t>INGENIERO</t>
  </si>
  <si>
    <t>DISEÑADOR</t>
  </si>
  <si>
    <t xml:space="preserve">Fase Diseño </t>
  </si>
  <si>
    <t>Ingreso Primer Año</t>
  </si>
  <si>
    <t>Ingreso Experiencia</t>
  </si>
  <si>
    <t xml:space="preserve">DI </t>
  </si>
  <si>
    <t>Nélson Alvarez</t>
  </si>
  <si>
    <t>ANALISTA PROGRAMADOR</t>
  </si>
  <si>
    <t>Captura de requerimientos Específicos</t>
  </si>
  <si>
    <t>Analisis de Requerimientos</t>
  </si>
  <si>
    <t>Diseño de la Solución. Modelamientos</t>
  </si>
  <si>
    <t>Propuesta ERS</t>
  </si>
  <si>
    <t>Plan de Proyecto</t>
  </si>
  <si>
    <t>Fase de Desarrollo</t>
  </si>
  <si>
    <t>COSTO POR FASE</t>
  </si>
  <si>
    <t>Implementación ambiente de Desarrollo</t>
  </si>
  <si>
    <t>Base de Datos.</t>
  </si>
  <si>
    <t>Construcción</t>
  </si>
  <si>
    <t>Poblamiento Inicial</t>
  </si>
  <si>
    <t>Fase Implementación y Cierre</t>
  </si>
  <si>
    <t>Administrador de Usuarios.</t>
  </si>
  <si>
    <t>Total HH por Fase</t>
  </si>
  <si>
    <t>Registro Cliente y Usuario</t>
  </si>
  <si>
    <t>Ficha Datos Cliente</t>
  </si>
  <si>
    <t>COSTO HH POR ROL</t>
  </si>
  <si>
    <t>Inicio Sesión Usuarios mobile y local.</t>
  </si>
  <si>
    <t>Validación Usuarios</t>
  </si>
  <si>
    <t>Interfaz Sistema Local</t>
  </si>
  <si>
    <t>Interfaz Mobile</t>
  </si>
  <si>
    <t>Reserva Mobile para Usuario Cliente.</t>
  </si>
  <si>
    <t>Componente Reserva</t>
  </si>
  <si>
    <t>Formulario Reserva</t>
  </si>
  <si>
    <t>TOTAL HH</t>
  </si>
  <si>
    <t>Gestión de Reserva web para Administrador Hotel.</t>
  </si>
  <si>
    <t>Registro Reserva Usuario administrador</t>
  </si>
  <si>
    <t>Consulta Disponibilidad Reserva</t>
  </si>
  <si>
    <t>COSTO POR COMPONENTE CODIFICACION</t>
  </si>
  <si>
    <t>Administrador cancelaciones.</t>
  </si>
  <si>
    <t>Interfaz Principal Aplicación Mobile</t>
  </si>
  <si>
    <t>Interfaz Principal Administrador Hotel.</t>
  </si>
  <si>
    <t>Integración del Sistema</t>
  </si>
  <si>
    <t>Pruebas Unitarias Componente 1, 2</t>
  </si>
  <si>
    <t>TOTAL CODIFICACION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</si>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</sst>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sz val="10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left"/>
    </xf>
    <xf borderId="7" fillId="0" fontId="5" numFmtId="0" xfId="0" applyBorder="1" applyFont="1"/>
    <xf borderId="8" fillId="0" fontId="5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5" fillId="0" fontId="1" numFmtId="9" xfId="0" applyAlignment="1" applyBorder="1" applyFont="1" applyNumberFormat="1">
      <alignment horizontal="center"/>
    </xf>
    <xf borderId="1" fillId="2" fontId="1" numFmtId="0" xfId="0" applyAlignment="1" applyBorder="1" applyFill="1" applyFont="1">
      <alignment shrinkToFit="0" wrapText="1"/>
    </xf>
    <xf borderId="5" fillId="4" fontId="7" numFmtId="0" xfId="0" applyBorder="1" applyFill="1" applyFont="1"/>
    <xf borderId="5" fillId="4" fontId="8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 shrinkToFit="0" wrapText="1"/>
    </xf>
    <xf borderId="5" fillId="3" fontId="4" numFmtId="0" xfId="0" applyBorder="1" applyFill="1" applyFont="1"/>
    <xf borderId="5" fillId="0" fontId="1" numFmtId="164" xfId="0" applyBorder="1" applyFont="1" applyNumberFormat="1"/>
    <xf borderId="5" fillId="3" fontId="4" numFmtId="0" xfId="0" applyAlignment="1" applyBorder="1" applyFill="1" applyFont="1">
      <alignment shrinkToFit="0" wrapText="1"/>
    </xf>
    <xf borderId="5" fillId="5" fontId="9" numFmtId="0" xfId="0" applyAlignment="1" applyBorder="1" applyFill="1" applyFont="1">
      <alignment vertical="center"/>
    </xf>
    <xf borderId="5" fillId="2" fontId="10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/>
    </xf>
    <xf borderId="5" fillId="2" fontId="1" numFmtId="0" xfId="0" applyBorder="1" applyFill="1" applyFont="1"/>
    <xf borderId="5" fillId="2" fontId="1" numFmtId="164" xfId="0" applyBorder="1" applyFill="1" applyFont="1" applyNumberFormat="1"/>
    <xf borderId="5" fillId="2" fontId="2" numFmtId="0" xfId="0" applyAlignment="1" applyBorder="1" applyFill="1" applyFont="1">
      <alignment horizontal="center"/>
    </xf>
    <xf borderId="1" fillId="5" fontId="9" numFmtId="0" xfId="0" applyBorder="1" applyFill="1" applyFont="1"/>
    <xf borderId="0" fillId="0" fontId="11" numFmtId="0" xfId="0" applyFont="1"/>
    <xf borderId="5" fillId="0" fontId="12" numFmtId="0" xfId="0" applyBorder="1" applyFont="1"/>
    <xf borderId="5" fillId="5" fontId="13" numFmtId="0" xfId="0" applyAlignment="1" applyBorder="1" applyFill="1" applyFont="1">
      <alignment vertical="center"/>
    </xf>
    <xf borderId="5" fillId="3" fontId="4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/>
    </xf>
    <xf borderId="5" fillId="5" fontId="12" numFmtId="0" xfId="0" applyAlignment="1" applyBorder="1" applyFill="1" applyFont="1">
      <alignment horizontal="left" vertical="center"/>
    </xf>
    <xf borderId="5" fillId="2" fontId="12" numFmtId="0" xfId="0" applyBorder="1" applyFill="1" applyFont="1"/>
    <xf borderId="5" fillId="5" fontId="14" numFmtId="0" xfId="0" applyAlignment="1" applyBorder="1" applyFill="1" applyFont="1">
      <alignment horizontal="left" vertical="center"/>
    </xf>
    <xf borderId="5" fillId="2" fontId="12" numFmtId="0" xfId="0" applyAlignment="1" applyBorder="1" applyFill="1" applyFont="1">
      <alignment horizontal="left" vertical="center"/>
    </xf>
    <xf borderId="5" fillId="6" fontId="15" numFmtId="0" xfId="0" applyBorder="1" applyFill="1" applyFont="1"/>
    <xf borderId="5" fillId="2" fontId="15" numFmtId="164" xfId="0" applyBorder="1" applyFill="1" applyFont="1" applyNumberFormat="1"/>
    <xf borderId="5" fillId="3" fontId="1" numFmtId="0" xfId="0" applyBorder="1" applyFill="1" applyFont="1"/>
    <xf borderId="5" fillId="5" fontId="9" numFmtId="0" xfId="0" applyAlignment="1" applyBorder="1" applyFill="1" applyFont="1">
      <alignment horizontal="left" vertical="center"/>
    </xf>
    <xf borderId="5" fillId="5" fontId="9" numFmtId="0" xfId="0" applyBorder="1" applyFill="1" applyFont="1"/>
    <xf borderId="5" fillId="2" fontId="16" numFmtId="0" xfId="0" applyBorder="1" applyFill="1" applyFont="1"/>
    <xf borderId="5" fillId="3" fontId="17" numFmtId="0" xfId="0" applyBorder="1" applyFill="1" applyFont="1"/>
    <xf borderId="5" fillId="3" fontId="7" numFmtId="0" xfId="0" applyAlignment="1" applyBorder="1" applyFill="1" applyFont="1">
      <alignment vertical="center"/>
    </xf>
    <xf borderId="5" fillId="2" fontId="18" numFmtId="0" xfId="0" applyAlignment="1" applyBorder="1" applyFill="1" applyFont="1">
      <alignment horizontal="center" vertical="center"/>
    </xf>
    <xf borderId="5" fillId="2" fontId="19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66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26" width="11.43"/>
  </cols>
  <sheetData>
    <row r="1" ht="14.25" customHeight="1">
      <c r="A1" s="1"/>
      <c r="B1" s="3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0" t="s">
        <v>4</v>
      </c>
      <c r="B2" s="11"/>
      <c r="C2" s="11"/>
      <c r="D2" s="11"/>
      <c r="E2" s="11"/>
      <c r="F2" s="11"/>
      <c r="G2" s="11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B3" s="15"/>
      <c r="C3" s="2"/>
      <c r="D3" s="2"/>
      <c r="E3" s="2"/>
      <c r="F3" s="2"/>
      <c r="G3" s="2"/>
      <c r="H3" s="2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7.25" customHeight="1">
      <c r="A4" s="18" t="s">
        <v>14</v>
      </c>
      <c r="B4" s="19"/>
      <c r="C4" s="20" t="s">
        <v>15</v>
      </c>
      <c r="D4" s="7"/>
      <c r="E4" s="7"/>
      <c r="F4" s="7"/>
      <c r="G4" s="7"/>
      <c r="H4" s="8"/>
      <c r="I4" s="17"/>
      <c r="J4" s="21" t="s">
        <v>16</v>
      </c>
      <c r="K4" s="7"/>
      <c r="L4" s="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22" t="s">
        <v>17</v>
      </c>
      <c r="B5" s="9" t="s">
        <v>18</v>
      </c>
      <c r="C5" s="9" t="s">
        <v>11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1"/>
      <c r="J5" s="24" t="s">
        <v>3</v>
      </c>
      <c r="K5" s="24" t="s">
        <v>5</v>
      </c>
      <c r="L5" s="24" t="s">
        <v>24</v>
      </c>
      <c r="M5" s="24" t="s">
        <v>25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5" t="s">
        <v>26</v>
      </c>
      <c r="B6" s="26">
        <v>0.5</v>
      </c>
      <c r="C6" s="27">
        <v>3.0</v>
      </c>
      <c r="D6" s="27">
        <v>3.0</v>
      </c>
      <c r="E6" s="27"/>
      <c r="F6" s="27"/>
      <c r="G6" s="27"/>
      <c r="H6" s="27"/>
      <c r="I6" s="1"/>
      <c r="J6" s="28" t="s">
        <v>11</v>
      </c>
      <c r="K6" s="28" t="s">
        <v>30</v>
      </c>
      <c r="L6" s="28" t="s">
        <v>31</v>
      </c>
      <c r="M6" s="29">
        <v>10833.333333333334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25" t="s">
        <v>32</v>
      </c>
      <c r="B7" s="30">
        <v>1.0</v>
      </c>
      <c r="C7" s="27">
        <v>2.0</v>
      </c>
      <c r="D7" s="27">
        <v>1.0</v>
      </c>
      <c r="E7" s="27"/>
      <c r="F7" s="27"/>
      <c r="G7" s="27"/>
      <c r="H7" s="27"/>
      <c r="I7" s="1"/>
      <c r="J7" s="28" t="s">
        <v>19</v>
      </c>
      <c r="K7" s="28" t="s">
        <v>34</v>
      </c>
      <c r="L7" s="28" t="s">
        <v>35</v>
      </c>
      <c r="M7" s="29">
        <v>7222.222222222223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25" t="s">
        <v>36</v>
      </c>
      <c r="B8" s="30">
        <v>1.0</v>
      </c>
      <c r="C8" s="27">
        <v>1.0</v>
      </c>
      <c r="D8" s="27"/>
      <c r="E8" s="27"/>
      <c r="F8" s="27"/>
      <c r="G8" s="27"/>
      <c r="H8" s="27"/>
      <c r="I8" s="1"/>
      <c r="J8" s="28" t="s">
        <v>20</v>
      </c>
      <c r="K8" s="28" t="s">
        <v>37</v>
      </c>
      <c r="L8" s="28" t="s">
        <v>38</v>
      </c>
      <c r="M8" s="29">
        <v>2777.777777777778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1" t="s">
        <v>40</v>
      </c>
      <c r="B9" s="30">
        <v>3.0</v>
      </c>
      <c r="C9" s="27">
        <v>1.0</v>
      </c>
      <c r="D9" s="27">
        <v>4.0</v>
      </c>
      <c r="E9" s="27"/>
      <c r="F9" s="27"/>
      <c r="G9" s="27"/>
      <c r="H9" s="27"/>
      <c r="I9" s="1"/>
      <c r="J9" s="28" t="s">
        <v>21</v>
      </c>
      <c r="K9" s="28" t="s">
        <v>43</v>
      </c>
      <c r="L9" s="28" t="s">
        <v>44</v>
      </c>
      <c r="M9" s="29">
        <v>3611.1111111111113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25" t="s">
        <v>45</v>
      </c>
      <c r="B10" s="30">
        <v>1.0</v>
      </c>
      <c r="C10" s="27">
        <v>4.0</v>
      </c>
      <c r="D10" s="27">
        <v>1.0</v>
      </c>
      <c r="E10" s="27">
        <v>1.0</v>
      </c>
      <c r="F10" s="27">
        <v>1.0</v>
      </c>
      <c r="G10" s="27">
        <v>1.0</v>
      </c>
      <c r="H10" s="27">
        <v>1.0</v>
      </c>
      <c r="I10" s="1"/>
      <c r="J10" s="28" t="s">
        <v>22</v>
      </c>
      <c r="K10" s="28" t="s">
        <v>47</v>
      </c>
      <c r="L10" s="28" t="s">
        <v>48</v>
      </c>
      <c r="M10" s="29">
        <v>2777.777777777778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2" t="s">
        <v>52</v>
      </c>
      <c r="B11" s="9" t="s">
        <v>18</v>
      </c>
      <c r="C11" s="9" t="s">
        <v>11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1"/>
      <c r="J11" s="28" t="s">
        <v>55</v>
      </c>
      <c r="K11" s="28" t="s">
        <v>51</v>
      </c>
      <c r="L11" s="28" t="s">
        <v>56</v>
      </c>
      <c r="M11" s="29">
        <v>2777.777777777778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31" t="s">
        <v>58</v>
      </c>
      <c r="B12" s="30">
        <v>2.0</v>
      </c>
      <c r="C12" s="27"/>
      <c r="D12" s="27">
        <v>16.0</v>
      </c>
      <c r="E12" s="27"/>
      <c r="F12" s="27"/>
      <c r="G12" s="27"/>
      <c r="H12" s="27">
        <v>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34" t="s">
        <v>59</v>
      </c>
      <c r="B13" s="30">
        <v>1.0</v>
      </c>
      <c r="C13" s="27">
        <v>2.0</v>
      </c>
      <c r="D13" s="27">
        <v>8.0</v>
      </c>
      <c r="E13" s="27">
        <v>2.0</v>
      </c>
      <c r="F13" s="27">
        <v>2.0</v>
      </c>
      <c r="G13" s="27"/>
      <c r="H13" s="27">
        <v>2.0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34" t="s">
        <v>60</v>
      </c>
      <c r="B14" s="30">
        <v>1.0</v>
      </c>
      <c r="C14" s="27">
        <v>2.0</v>
      </c>
      <c r="D14" s="27">
        <v>8.0</v>
      </c>
      <c r="E14" s="27">
        <v>4.0</v>
      </c>
      <c r="F14" s="27">
        <v>4.0</v>
      </c>
      <c r="G14" s="27"/>
      <c r="H14" s="27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1" t="s">
        <v>61</v>
      </c>
      <c r="B15" s="30">
        <v>1.0</v>
      </c>
      <c r="C15" s="27">
        <v>1.0</v>
      </c>
      <c r="D15" s="27">
        <v>8.0</v>
      </c>
      <c r="E15" s="27"/>
      <c r="F15" s="27"/>
      <c r="G15" s="27"/>
      <c r="H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34" t="s">
        <v>62</v>
      </c>
      <c r="B16" s="30">
        <v>2.0</v>
      </c>
      <c r="C16" s="27">
        <v>16.0</v>
      </c>
      <c r="D16" s="27">
        <v>2.0</v>
      </c>
      <c r="E16" s="27"/>
      <c r="F16" s="27"/>
      <c r="G16" s="27"/>
      <c r="H16" s="2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5" t="s">
        <v>63</v>
      </c>
      <c r="B17" s="9" t="s">
        <v>18</v>
      </c>
      <c r="C17" s="9" t="s">
        <v>11</v>
      </c>
      <c r="D17" s="9" t="s">
        <v>19</v>
      </c>
      <c r="E17" s="9" t="s">
        <v>20</v>
      </c>
      <c r="F17" s="9" t="s">
        <v>21</v>
      </c>
      <c r="G17" s="9" t="s">
        <v>22</v>
      </c>
      <c r="H17" s="9" t="s">
        <v>23</v>
      </c>
      <c r="I17" s="1"/>
      <c r="J17" s="1"/>
      <c r="K17" s="1"/>
      <c r="L17" s="36" t="s">
        <v>64</v>
      </c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37" t="s">
        <v>65</v>
      </c>
      <c r="B18" s="26">
        <v>1.0</v>
      </c>
      <c r="C18" s="27">
        <v>1.0</v>
      </c>
      <c r="D18" s="27">
        <v>4.0</v>
      </c>
      <c r="E18" s="27">
        <v>4.0</v>
      </c>
      <c r="F18" s="27">
        <v>4.0</v>
      </c>
      <c r="G18" s="27"/>
      <c r="H18" s="27"/>
      <c r="I18" s="1"/>
      <c r="J18" s="1"/>
      <c r="K18" s="1"/>
      <c r="L18" s="38" t="s">
        <v>17</v>
      </c>
      <c r="M18" s="29">
        <f>SUM(C6:C10)*M6+SUM(D6:D10)*M7+SUM(E6:E10)*M8+SUM(F6:F10)*M9+SUM(G6:G10)*M10+SUM(H6:H10)*M11</f>
        <v>196111.1111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37" t="s">
        <v>66</v>
      </c>
      <c r="B19" s="30"/>
      <c r="C19" s="27">
        <v>1.0</v>
      </c>
      <c r="D19" s="27"/>
      <c r="E19" s="27"/>
      <c r="F19" s="27"/>
      <c r="G19" s="27"/>
      <c r="H19" s="27"/>
      <c r="I19" s="1"/>
      <c r="J19" s="1"/>
      <c r="K19" s="1"/>
      <c r="L19" s="38" t="s">
        <v>52</v>
      </c>
      <c r="M19" s="29">
        <f>SUM(C12:C16)*M6+SUM(D12:D16)*M7+SUM(E12:E16)*M8+SUM(F12:F16)*M9+SUM(G12:G16)*M10+SUM(H12:H16)*M11</f>
        <v>591388.8889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2">
      <c r="A20" s="39" t="s">
        <v>67</v>
      </c>
      <c r="B20" s="30">
        <v>3.0</v>
      </c>
      <c r="C20" s="27"/>
      <c r="D20" s="27">
        <v>1.0</v>
      </c>
      <c r="E20" s="27"/>
      <c r="F20" s="27">
        <v>8.0</v>
      </c>
      <c r="G20" s="27"/>
      <c r="H20" s="27"/>
      <c r="I20" s="1"/>
      <c r="J20" s="1"/>
      <c r="K20" s="1"/>
      <c r="L20" s="40" t="s">
        <v>63</v>
      </c>
      <c r="M20" s="29">
        <f>SUM(C18:C38)*M6+SUM(D18:D38)*M7+SUM(E18:E38)*M8+SUM(F18:F38)*M9+SUM(G18:G38)*M10+SUM(H18:H38)*M11</f>
        <v>1119722.222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39" t="s">
        <v>68</v>
      </c>
      <c r="B21" s="30">
        <v>1.0</v>
      </c>
      <c r="C21" s="27"/>
      <c r="D21" s="27">
        <v>1.0</v>
      </c>
      <c r="E21" s="27"/>
      <c r="F21" s="27">
        <v>2.0</v>
      </c>
      <c r="G21" s="27">
        <v>1.0</v>
      </c>
      <c r="H21" s="27"/>
      <c r="I21" s="1"/>
      <c r="J21" s="1"/>
      <c r="K21" s="1"/>
      <c r="L21" s="38" t="s">
        <v>69</v>
      </c>
      <c r="M21" s="29">
        <f>SUM(C43:C51)*M6+SUM(D43:D51)*M7+SUM(E43:E51)*M8+SUM(F43:F51)*M9+SUM(G43:G51)*M10+SUM(H43:H51)*M11</f>
        <v>493333.3333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1">
      <c r="A22" s="37" t="s">
        <v>70</v>
      </c>
      <c r="B22" s="30"/>
      <c r="C22" s="27">
        <v>1.0</v>
      </c>
      <c r="D22" s="27"/>
      <c r="E22" s="27"/>
      <c r="F22" s="27"/>
      <c r="G22" s="27"/>
      <c r="H22" s="27"/>
      <c r="I22" s="1"/>
      <c r="J22" s="1"/>
      <c r="K22" s="1"/>
      <c r="L22" s="41" t="s">
        <v>71</v>
      </c>
      <c r="M22" s="42">
        <f>SUM(M18:M21)</f>
        <v>2400555.556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2">
      <c r="A23" s="39" t="s">
        <v>72</v>
      </c>
      <c r="B23" s="30">
        <v>3.0</v>
      </c>
      <c r="C23" s="27"/>
      <c r="D23" s="27">
        <v>1.0</v>
      </c>
      <c r="E23" s="27">
        <v>8.0</v>
      </c>
      <c r="F23" s="27">
        <v>2.0</v>
      </c>
      <c r="G23" s="27">
        <v>1.0</v>
      </c>
      <c r="H23" s="2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39" t="s">
        <v>73</v>
      </c>
      <c r="B24" s="30">
        <v>2.0</v>
      </c>
      <c r="C24" s="27"/>
      <c r="D24" s="27">
        <v>1.0</v>
      </c>
      <c r="E24" s="27">
        <v>4.0</v>
      </c>
      <c r="F24" s="27"/>
      <c r="G24" s="27">
        <v>1.0</v>
      </c>
      <c r="H24" s="27">
        <v>2.0</v>
      </c>
      <c r="I24" s="1"/>
      <c r="J24" s="1"/>
      <c r="K24" s="1"/>
      <c r="L24" s="36" t="s">
        <v>74</v>
      </c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1">
      <c r="A25" s="37" t="s">
        <v>75</v>
      </c>
      <c r="B25" s="30"/>
      <c r="C25" s="27">
        <v>1.0</v>
      </c>
      <c r="D25" s="27"/>
      <c r="E25" s="27"/>
      <c r="F25" s="27"/>
      <c r="G25" s="27"/>
      <c r="H25" s="27"/>
      <c r="I25" s="1"/>
      <c r="J25" s="1"/>
      <c r="K25" s="1"/>
      <c r="L25" s="28" t="s">
        <v>30</v>
      </c>
      <c r="M25" s="29">
        <f>C53*M6</f>
        <v>509166.6667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2">
      <c r="A26" s="39" t="s">
        <v>76</v>
      </c>
      <c r="B26" s="30">
        <v>3.0</v>
      </c>
      <c r="C26" s="27"/>
      <c r="D26" s="27">
        <v>1.0</v>
      </c>
      <c r="E26" s="27">
        <v>8.0</v>
      </c>
      <c r="F26" s="27"/>
      <c r="G26" s="27">
        <v>1.0</v>
      </c>
      <c r="H26" s="27"/>
      <c r="I26" s="1"/>
      <c r="J26" s="1"/>
      <c r="K26" s="1"/>
      <c r="L26" s="28" t="s">
        <v>34</v>
      </c>
      <c r="M26" s="29">
        <f>D53*M7</f>
        <v>960555.5556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39" t="s">
        <v>77</v>
      </c>
      <c r="B27" s="30">
        <v>2.0</v>
      </c>
      <c r="C27" s="27"/>
      <c r="D27" s="27">
        <v>1.0</v>
      </c>
      <c r="E27" s="27">
        <v>4.0</v>
      </c>
      <c r="F27" s="27"/>
      <c r="G27" s="27">
        <v>1.0</v>
      </c>
      <c r="H27" s="27">
        <v>4.0</v>
      </c>
      <c r="I27" s="1"/>
      <c r="J27" s="1"/>
      <c r="K27" s="1"/>
      <c r="L27" s="28" t="s">
        <v>37</v>
      </c>
      <c r="M27" s="29">
        <f>E53*M8</f>
        <v>297222.2222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39" t="s">
        <v>78</v>
      </c>
      <c r="B28" s="30">
        <v>3.0</v>
      </c>
      <c r="C28" s="27"/>
      <c r="D28" s="27">
        <v>8.0</v>
      </c>
      <c r="E28" s="27"/>
      <c r="F28" s="27"/>
      <c r="G28" s="27">
        <v>1.0</v>
      </c>
      <c r="H28" s="27">
        <v>4.0</v>
      </c>
      <c r="I28" s="1"/>
      <c r="J28" s="1"/>
      <c r="K28" s="1"/>
      <c r="L28" s="28" t="s">
        <v>43</v>
      </c>
      <c r="M28" s="29">
        <f>F53*M9</f>
        <v>169722.2222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1">
      <c r="A29" s="37" t="s">
        <v>79</v>
      </c>
      <c r="B29" s="30"/>
      <c r="C29" s="27">
        <v>1.0</v>
      </c>
      <c r="D29" s="27"/>
      <c r="E29" s="27"/>
      <c r="F29" s="27"/>
      <c r="G29" s="27"/>
      <c r="H29" s="27"/>
      <c r="I29" s="1"/>
      <c r="J29" s="1"/>
      <c r="K29" s="1"/>
      <c r="L29" s="28" t="s">
        <v>47</v>
      </c>
      <c r="M29" s="29">
        <f>G53*M10</f>
        <v>283333.3333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39" t="s">
        <v>80</v>
      </c>
      <c r="B30" s="30">
        <v>5.0</v>
      </c>
      <c r="C30" s="27"/>
      <c r="D30" s="27">
        <v>8.0</v>
      </c>
      <c r="E30" s="27">
        <v>4.0</v>
      </c>
      <c r="F30" s="27">
        <v>2.0</v>
      </c>
      <c r="G30" s="27">
        <v>1.0</v>
      </c>
      <c r="H30" s="27"/>
      <c r="I30" s="1"/>
      <c r="J30" s="1"/>
      <c r="K30" s="1"/>
      <c r="L30" s="28" t="s">
        <v>51</v>
      </c>
      <c r="M30" s="29">
        <f>H53*M11</f>
        <v>180555.5556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2">
      <c r="A31" s="39" t="s">
        <v>81</v>
      </c>
      <c r="B31" s="30">
        <v>2.0</v>
      </c>
      <c r="C31" s="27"/>
      <c r="D31" s="27">
        <v>4.0</v>
      </c>
      <c r="E31" s="27">
        <v>2.0</v>
      </c>
      <c r="F31" s="27"/>
      <c r="G31" s="27">
        <v>1.0</v>
      </c>
      <c r="H31" s="27"/>
      <c r="I31" s="1"/>
      <c r="J31" s="1"/>
      <c r="K31" s="1"/>
      <c r="L31" s="41" t="s">
        <v>82</v>
      </c>
      <c r="M31" s="42">
        <f>SUM(M25:M30)</f>
        <v>2400555.556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1">
      <c r="A32" s="37" t="s">
        <v>83</v>
      </c>
      <c r="B32" s="30"/>
      <c r="C32" s="27">
        <v>1.0</v>
      </c>
      <c r="D32" s="27"/>
      <c r="E32" s="27"/>
      <c r="F32" s="27"/>
      <c r="G32" s="27"/>
      <c r="H32" s="2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39" t="s">
        <v>84</v>
      </c>
      <c r="B33" s="30">
        <v>6.0</v>
      </c>
      <c r="C33" s="27"/>
      <c r="D33" s="27">
        <v>2.0</v>
      </c>
      <c r="E33" s="27">
        <v>8.0</v>
      </c>
      <c r="F33" s="27"/>
      <c r="G33" s="27">
        <v>1.0</v>
      </c>
      <c r="H33" s="27">
        <v>2.0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39" t="s">
        <v>85</v>
      </c>
      <c r="B34" s="30">
        <v>5.0</v>
      </c>
      <c r="C34" s="27"/>
      <c r="D34" s="27">
        <v>2.0</v>
      </c>
      <c r="E34" s="27">
        <v>8.0</v>
      </c>
      <c r="F34" s="27">
        <v>2.0</v>
      </c>
      <c r="G34" s="27">
        <v>1.0</v>
      </c>
      <c r="H34" s="27">
        <v>2.0</v>
      </c>
      <c r="I34" s="1"/>
      <c r="J34" s="1"/>
      <c r="K34" s="1"/>
      <c r="L34" s="22" t="s">
        <v>86</v>
      </c>
      <c r="M34" s="4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39" t="s">
        <v>87</v>
      </c>
      <c r="B35" s="30">
        <v>2.0</v>
      </c>
      <c r="C35" s="27"/>
      <c r="D35" s="27">
        <v>8.0</v>
      </c>
      <c r="E35" s="27">
        <v>2.0</v>
      </c>
      <c r="F35" s="27"/>
      <c r="G35" s="27">
        <v>1.0</v>
      </c>
      <c r="H35" s="27">
        <v>2.0</v>
      </c>
      <c r="I35" s="1"/>
      <c r="J35" s="1"/>
      <c r="K35" s="1"/>
      <c r="L35" s="37" t="s">
        <v>66</v>
      </c>
      <c r="M35" s="29">
        <f>SUM(C19:C21)*M6+SUM(D19:D21)*M7+SUM(E19:E21)*M8+SUM(F19:F21)*M9+SUM(G19:G21)*M10+SUM(H19:H21)*M11</f>
        <v>64166.66667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37" t="s">
        <v>88</v>
      </c>
      <c r="B36" s="30">
        <v>2.0</v>
      </c>
      <c r="C36" s="27">
        <v>1.0</v>
      </c>
      <c r="D36" s="27">
        <v>4.0</v>
      </c>
      <c r="E36" s="27"/>
      <c r="F36" s="27"/>
      <c r="G36" s="27">
        <v>2.0</v>
      </c>
      <c r="H36" s="27">
        <v>16.0</v>
      </c>
      <c r="I36" s="1"/>
      <c r="J36" s="1"/>
      <c r="K36" s="1"/>
      <c r="L36" s="37" t="s">
        <v>70</v>
      </c>
      <c r="M36" s="29">
        <f>SUM(C22:C24)*M7+SUM(D22:D24)*M8+SUM(E22:E24)*M9+SUM(F22:F24)*M10+SUM(G22:G24)*M11+SUM(H22:H24)*M12</f>
        <v>67222.22222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37" t="s">
        <v>89</v>
      </c>
      <c r="B37" s="30">
        <v>2.0</v>
      </c>
      <c r="C37" s="27">
        <v>1.0</v>
      </c>
      <c r="D37" s="27">
        <v>4.0</v>
      </c>
      <c r="E37" s="27"/>
      <c r="F37" s="27"/>
      <c r="G37" s="27">
        <v>2.0</v>
      </c>
      <c r="H37" s="27">
        <v>16.0</v>
      </c>
      <c r="I37" s="1"/>
      <c r="J37" s="1"/>
      <c r="K37" s="1"/>
      <c r="L37" s="37" t="s">
        <v>75</v>
      </c>
      <c r="M37" s="29">
        <f>SUM(C25:C28)*M6+SUM(D25:D28)*M7+SUM(E25:E28)*M8+SUM(F25:F28)*M9+SUM(G25:G28)*M10+SUM(H25:H28)*M11</f>
        <v>146944.4444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37" t="s">
        <v>90</v>
      </c>
      <c r="B38" s="30">
        <v>6.0</v>
      </c>
      <c r="C38" s="27">
        <v>1.0</v>
      </c>
      <c r="D38" s="27">
        <v>12.0</v>
      </c>
      <c r="E38" s="27">
        <v>48.0</v>
      </c>
      <c r="F38" s="27">
        <v>6.0</v>
      </c>
      <c r="G38" s="27">
        <v>6.0</v>
      </c>
      <c r="H38" s="27">
        <v>4.0</v>
      </c>
      <c r="I38" s="1"/>
      <c r="J38" s="1"/>
      <c r="K38" s="1"/>
      <c r="L38" s="37" t="s">
        <v>79</v>
      </c>
      <c r="M38" s="29">
        <f>SUM(C29:C31)*M9+SUM(D29:D31)*M10+SUM(E29:E31)*M11+SUM(F29:F31)*M12+SUM(G29:G31)*M13+SUM(H29:H31)*M14</f>
        <v>53611.11111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1"/>
      <c r="B39" s="30"/>
      <c r="C39" s="27"/>
      <c r="D39" s="27"/>
      <c r="E39" s="27"/>
      <c r="F39" s="27"/>
      <c r="G39" s="27"/>
      <c r="H39" s="27"/>
      <c r="I39" s="1"/>
      <c r="J39" s="1"/>
      <c r="K39" s="1"/>
      <c r="L39" s="37" t="s">
        <v>83</v>
      </c>
      <c r="M39" s="29">
        <f>SUM(C33:C35)*M$6+SUM(D33:D35)*M$7+SUM(E33:E35)*M$8+SUM(F33:F35)*M$9+SUM(G33:G35)*M$10+SUM(H33:H35)*M$11</f>
        <v>168888.8889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44"/>
      <c r="B40" s="30"/>
      <c r="C40" s="27"/>
      <c r="D40" s="27"/>
      <c r="E40" s="27"/>
      <c r="F40" s="27"/>
      <c r="G40" s="27"/>
      <c r="H40" s="27"/>
      <c r="I40" s="1"/>
      <c r="J40" s="1"/>
      <c r="K40" s="1"/>
      <c r="L40" s="37" t="s">
        <v>88</v>
      </c>
      <c r="M40" s="29">
        <f t="shared" ref="M40:M42" si="1">SUM(C36)*M$6+SUM(D36)*M$7+SUM(E36)*M$8+SUM(F36)*M$9+SUM(G36)*M$10+SUM(H36)*M$11</f>
        <v>89722.22222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1"/>
      <c r="B41" s="30"/>
      <c r="C41" s="27"/>
      <c r="D41" s="27"/>
      <c r="E41" s="27"/>
      <c r="F41" s="27"/>
      <c r="G41" s="27"/>
      <c r="H41" s="27"/>
      <c r="I41" s="1"/>
      <c r="J41" s="1"/>
      <c r="K41" s="1"/>
      <c r="L41" s="37" t="s">
        <v>89</v>
      </c>
      <c r="M41" s="29">
        <f t="shared" si="1"/>
        <v>89722.22222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2" t="s">
        <v>69</v>
      </c>
      <c r="B42" s="9" t="s">
        <v>18</v>
      </c>
      <c r="C42" s="9" t="s">
        <v>11</v>
      </c>
      <c r="D42" s="9" t="s">
        <v>19</v>
      </c>
      <c r="E42" s="9" t="s">
        <v>20</v>
      </c>
      <c r="F42" s="9" t="s">
        <v>21</v>
      </c>
      <c r="G42" s="9" t="s">
        <v>22</v>
      </c>
      <c r="H42" s="9" t="s">
        <v>23</v>
      </c>
      <c r="I42" s="1"/>
      <c r="J42" s="1"/>
      <c r="K42" s="1"/>
      <c r="L42" s="37" t="s">
        <v>90</v>
      </c>
      <c r="M42" s="29">
        <f t="shared" si="1"/>
        <v>280277.7778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34" t="s">
        <v>91</v>
      </c>
      <c r="B43" s="30">
        <v>2.0</v>
      </c>
      <c r="C43" s="27"/>
      <c r="D43" s="27">
        <v>2.0</v>
      </c>
      <c r="E43" s="27"/>
      <c r="F43" s="27">
        <v>1.0</v>
      </c>
      <c r="G43" s="27">
        <v>8.0</v>
      </c>
      <c r="H43" s="27"/>
      <c r="I43" s="1"/>
      <c r="J43" s="1"/>
      <c r="K43" s="1"/>
      <c r="L43" s="41" t="s">
        <v>92</v>
      </c>
      <c r="M43" s="42">
        <f>SUM(M35:M42)</f>
        <v>960555.5556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34" t="s">
        <v>93</v>
      </c>
      <c r="B44" s="30">
        <v>2.0</v>
      </c>
      <c r="C44" s="27"/>
      <c r="D44" s="27">
        <v>2.0</v>
      </c>
      <c r="E44" s="27"/>
      <c r="F44" s="27">
        <v>1.0</v>
      </c>
      <c r="G44" s="27">
        <v>8.0</v>
      </c>
      <c r="H44" s="2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34" t="s">
        <v>94</v>
      </c>
      <c r="B45" s="30">
        <v>1.0</v>
      </c>
      <c r="C45" s="27"/>
      <c r="D45" s="27">
        <v>1.0</v>
      </c>
      <c r="E45" s="27"/>
      <c r="F45" s="27">
        <v>1.0</v>
      </c>
      <c r="G45" s="27">
        <v>2.0</v>
      </c>
      <c r="H45" s="2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34" t="s">
        <v>95</v>
      </c>
      <c r="B46" s="30">
        <v>2.0</v>
      </c>
      <c r="C46" s="27">
        <v>1.0</v>
      </c>
      <c r="D46" s="27">
        <v>1.0</v>
      </c>
      <c r="E46" s="27"/>
      <c r="F46" s="27">
        <v>1.0</v>
      </c>
      <c r="G46" s="27">
        <v>6.0</v>
      </c>
      <c r="H46" s="2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45" t="s">
        <v>96</v>
      </c>
      <c r="B47" s="30">
        <v>2.0</v>
      </c>
      <c r="C47" s="27">
        <v>1.0</v>
      </c>
      <c r="D47" s="27">
        <v>4.0</v>
      </c>
      <c r="E47" s="27"/>
      <c r="F47" s="27">
        <v>4.0</v>
      </c>
      <c r="G47" s="27">
        <v>8.0</v>
      </c>
      <c r="H47" s="27">
        <v>4.0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25" t="s">
        <v>97</v>
      </c>
      <c r="B48" s="30">
        <v>1.0</v>
      </c>
      <c r="C48" s="27">
        <v>1.0</v>
      </c>
      <c r="D48" s="27">
        <v>1.0</v>
      </c>
      <c r="E48" s="27"/>
      <c r="F48" s="27">
        <v>2.0</v>
      </c>
      <c r="G48" s="27">
        <v>4.0</v>
      </c>
      <c r="H48" s="2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45" t="s">
        <v>98</v>
      </c>
      <c r="B49" s="30">
        <v>5.0</v>
      </c>
      <c r="C49" s="27">
        <v>1.0</v>
      </c>
      <c r="D49" s="27">
        <v>5.0</v>
      </c>
      <c r="E49" s="27"/>
      <c r="F49" s="27">
        <v>4.0</v>
      </c>
      <c r="G49" s="27">
        <v>40.0</v>
      </c>
      <c r="H49" s="2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45" t="s">
        <v>99</v>
      </c>
      <c r="B50" s="30">
        <v>1.0</v>
      </c>
      <c r="C50" s="27"/>
      <c r="D50" s="27">
        <v>4.0</v>
      </c>
      <c r="E50" s="27"/>
      <c r="F50" s="27"/>
      <c r="G50" s="27">
        <v>4.0</v>
      </c>
      <c r="H50" s="2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outlineLevel="1">
      <c r="A51" s="46" t="s">
        <v>100</v>
      </c>
      <c r="B51" s="30">
        <v>0.5</v>
      </c>
      <c r="C51" s="27">
        <v>2.0</v>
      </c>
      <c r="D51" s="27"/>
      <c r="E51" s="27"/>
      <c r="F51" s="27"/>
      <c r="G51" s="27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outlineLevel="1">
      <c r="A52" s="47"/>
      <c r="B52" s="9" t="s">
        <v>18</v>
      </c>
      <c r="C52" s="9" t="s">
        <v>11</v>
      </c>
      <c r="D52" s="9" t="s">
        <v>19</v>
      </c>
      <c r="E52" s="9" t="s">
        <v>20</v>
      </c>
      <c r="F52" s="9" t="s">
        <v>21</v>
      </c>
      <c r="G52" s="9" t="s">
        <v>22</v>
      </c>
      <c r="H52" s="9" t="s">
        <v>23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0" customHeight="1">
      <c r="A53" s="48" t="s">
        <v>101</v>
      </c>
      <c r="B53" s="49">
        <f>SUM(B6:B50)</f>
        <v>77.5</v>
      </c>
      <c r="C53" s="50">
        <f t="shared" ref="C53:H53" si="2">SUM(C6:C51)</f>
        <v>47</v>
      </c>
      <c r="D53" s="50">
        <f t="shared" si="2"/>
        <v>133</v>
      </c>
      <c r="E53" s="50">
        <f t="shared" si="2"/>
        <v>107</v>
      </c>
      <c r="F53" s="50">
        <f t="shared" si="2"/>
        <v>47</v>
      </c>
      <c r="G53" s="50">
        <f t="shared" si="2"/>
        <v>102</v>
      </c>
      <c r="H53" s="50">
        <f t="shared" si="2"/>
        <v>65</v>
      </c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1"/>
      <c r="B54" s="3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3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3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3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3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3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3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3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3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3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3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3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3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3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3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3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3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3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3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3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3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3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3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3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3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3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3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3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3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3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3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3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3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3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3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3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3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3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3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3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3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3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3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3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3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3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3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3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3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3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3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3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3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3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3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3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3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3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3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3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3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3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3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3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3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3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3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3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3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3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3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3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3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3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3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3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3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3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3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3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3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3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3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3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3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3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3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3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3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3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3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3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3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3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3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3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3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3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3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3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3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3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3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3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3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3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3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3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3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3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3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3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3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3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3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3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3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3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3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3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3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3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3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3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3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3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3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3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3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3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3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3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3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3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3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3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3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3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3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3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3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3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3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3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3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3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3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3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3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3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3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3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3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3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3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3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3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3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3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3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3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3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3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3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3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3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3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3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3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3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3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3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3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3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3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3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3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3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3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3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3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3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3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3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3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3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3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3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3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3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3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3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3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3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3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3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3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3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3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3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3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3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3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3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3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3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3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3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3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3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3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3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3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3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3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3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3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3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3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3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3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3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3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3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3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3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3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3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3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3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3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3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3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3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3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3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3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3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3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3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3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3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3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3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3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3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3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3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3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3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3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3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3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3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3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3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3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3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3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3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3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3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3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3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3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3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3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3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3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3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3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3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3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3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3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3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3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3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3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3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3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3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3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3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3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3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3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3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3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3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3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3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3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3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3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3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3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3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3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3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3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3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3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3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3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3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3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3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3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3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3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3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3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3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3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3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3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3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3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3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3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3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3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3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3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3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3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3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3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3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3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3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3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3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3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3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3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3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3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3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3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3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3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3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3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3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3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3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3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3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3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3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3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3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3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3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3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3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3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3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3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3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3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3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3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3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3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3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3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3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3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3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3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3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3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3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3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3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3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3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3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3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3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3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3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3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3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3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3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3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3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3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3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3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3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3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3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3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3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3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3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3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3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3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3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3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3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3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3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3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3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3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3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3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3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3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3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3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3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3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3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3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3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3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3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3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3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3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3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3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3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3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3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3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3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3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3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3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3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3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3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3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3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3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3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3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3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3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3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3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3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3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3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3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3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3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3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3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3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3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3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3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3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3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3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3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3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3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3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3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3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3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3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3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3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3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3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3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3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3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3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3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3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3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3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3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3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3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3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3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3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3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3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3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3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3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3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3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3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3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3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3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3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3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3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3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3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3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3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3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3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3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3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3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3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3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3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3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3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3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3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3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3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3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3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3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3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3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3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3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3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3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3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3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3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3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3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3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3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3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3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3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3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3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3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3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3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3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3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3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3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3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3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3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3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3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3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3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3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3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3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3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3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3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3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3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3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3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3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3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3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3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3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3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3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3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3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3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3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3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3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3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3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3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3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3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3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3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3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3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3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3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3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3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3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3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3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3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3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3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3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3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3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3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3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3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3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3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3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3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3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3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3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3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3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3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3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3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3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3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3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3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3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3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3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3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3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3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3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3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3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3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3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3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3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3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3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3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3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3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3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3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3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3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3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3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3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3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3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3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3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3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3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3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3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3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3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3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3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3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3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3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3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3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3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3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3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3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3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3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3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3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3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3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3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3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3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3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3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3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3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3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3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3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3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3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3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3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3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3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3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3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3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3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3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3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3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3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3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3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3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3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3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3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3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3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3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3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3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3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3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3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3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3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3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3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3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3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3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3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3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3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3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3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3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3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3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3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3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3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3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3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3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3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3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3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3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3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3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3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3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3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3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3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3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3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3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3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3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3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3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3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3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3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3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3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3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3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3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3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3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3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3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3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3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3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3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3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3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3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3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3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3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3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3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3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3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3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3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3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3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3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3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3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3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3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3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3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3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3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3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3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3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3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3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3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3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3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3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3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3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3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3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3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3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3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3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3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3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3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3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3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3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3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3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3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3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3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3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3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3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3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3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3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3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3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3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3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3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3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3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3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3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3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3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3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3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3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3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3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3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3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3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3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3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3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3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3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3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3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3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3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3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3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3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3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3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3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3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3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3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3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3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3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3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3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3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3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3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3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3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3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3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3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3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3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3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3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3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3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3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3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3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3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3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3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3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3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3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3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3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3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3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3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3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3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3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3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3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3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3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3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3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3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3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3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3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3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3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3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3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3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3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3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3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3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3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3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3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3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3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3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3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3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3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3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3"/>
      <c r="C986" s="5"/>
      <c r="D986" s="5"/>
      <c r="E986" s="5"/>
      <c r="F986" s="5"/>
      <c r="G986" s="5"/>
      <c r="H986" s="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3"/>
      <c r="C987" s="5"/>
      <c r="D987" s="5"/>
      <c r="E987" s="5"/>
      <c r="F987" s="5"/>
      <c r="G987" s="5"/>
      <c r="H987" s="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3"/>
      <c r="C988" s="5"/>
      <c r="D988" s="5"/>
      <c r="E988" s="5"/>
      <c r="F988" s="5"/>
      <c r="G988" s="5"/>
      <c r="H988" s="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3"/>
      <c r="C989" s="5"/>
      <c r="D989" s="5"/>
      <c r="E989" s="5"/>
      <c r="F989" s="5"/>
      <c r="G989" s="5"/>
      <c r="H989" s="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3"/>
      <c r="C990" s="5"/>
      <c r="D990" s="5"/>
      <c r="E990" s="5"/>
      <c r="F990" s="5"/>
      <c r="G990" s="5"/>
      <c r="H990" s="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3"/>
      <c r="C991" s="5"/>
      <c r="D991" s="5"/>
      <c r="E991" s="5"/>
      <c r="F991" s="5"/>
      <c r="G991" s="5"/>
      <c r="H991" s="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3"/>
      <c r="C992" s="5"/>
      <c r="D992" s="5"/>
      <c r="E992" s="5"/>
      <c r="F992" s="5"/>
      <c r="G992" s="5"/>
      <c r="H992" s="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3"/>
      <c r="C993" s="5"/>
      <c r="D993" s="5"/>
      <c r="E993" s="5"/>
      <c r="F993" s="5"/>
      <c r="G993" s="5"/>
      <c r="H993" s="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3"/>
      <c r="C994" s="5"/>
      <c r="D994" s="5"/>
      <c r="E994" s="5"/>
      <c r="F994" s="5"/>
      <c r="G994" s="5"/>
      <c r="H994" s="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3"/>
      <c r="C995" s="5"/>
      <c r="D995" s="5"/>
      <c r="E995" s="5"/>
      <c r="F995" s="5"/>
      <c r="G995" s="5"/>
      <c r="H995" s="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3"/>
      <c r="C996" s="5"/>
      <c r="D996" s="5"/>
      <c r="E996" s="5"/>
      <c r="F996" s="5"/>
      <c r="G996" s="5"/>
      <c r="H996" s="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3"/>
      <c r="C997" s="5"/>
      <c r="D997" s="5"/>
      <c r="E997" s="5"/>
      <c r="F997" s="5"/>
      <c r="G997" s="5"/>
      <c r="H997" s="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3"/>
      <c r="C998" s="5"/>
      <c r="D998" s="5"/>
      <c r="E998" s="5"/>
      <c r="F998" s="5"/>
      <c r="G998" s="5"/>
      <c r="H998" s="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3"/>
      <c r="C999" s="5"/>
      <c r="D999" s="5"/>
      <c r="E999" s="5"/>
      <c r="F999" s="5"/>
      <c r="G999" s="5"/>
      <c r="H999" s="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3"/>
      <c r="C1000" s="5"/>
      <c r="D1000" s="5"/>
      <c r="E1000" s="5"/>
      <c r="F1000" s="5"/>
      <c r="G1000" s="5"/>
      <c r="H1000" s="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H2"/>
    <mergeCell ref="C4:H4"/>
    <mergeCell ref="J4:L4"/>
    <mergeCell ref="L17:M17"/>
    <mergeCell ref="L24:M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 t="s">
        <v>0</v>
      </c>
    </row>
    <row r="3" ht="14.25" customHeight="1">
      <c r="H3" s="4" t="s">
        <v>1</v>
      </c>
    </row>
    <row r="4" ht="14.25" customHeight="1">
      <c r="C4" s="6" t="s">
        <v>2</v>
      </c>
      <c r="D4" s="7"/>
      <c r="E4" s="8"/>
    </row>
    <row r="5" ht="14.25" customHeight="1">
      <c r="A5" s="9" t="s">
        <v>3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</row>
    <row r="6" ht="14.25" customHeight="1">
      <c r="A6" s="9" t="s">
        <v>11</v>
      </c>
      <c r="B6" s="13" t="s">
        <v>12</v>
      </c>
      <c r="C6" s="14"/>
      <c r="D6" s="14" t="s">
        <v>13</v>
      </c>
      <c r="E6" s="16">
        <v>0.5</v>
      </c>
      <c r="F6" s="23">
        <f>(C20*E6)+1300000</f>
        <v>1950000</v>
      </c>
      <c r="G6" s="23">
        <f t="shared" ref="G6:G11" si="1">F6/180</f>
        <v>10833.33333</v>
      </c>
    </row>
    <row r="7" ht="14.25" customHeight="1">
      <c r="A7" s="9" t="s">
        <v>19</v>
      </c>
      <c r="B7" s="13" t="s">
        <v>27</v>
      </c>
      <c r="C7" s="14"/>
      <c r="D7" s="14" t="s">
        <v>13</v>
      </c>
      <c r="E7" s="16">
        <v>0.3</v>
      </c>
      <c r="F7" s="23">
        <f>(C22*E7)+1300000</f>
        <v>1300000</v>
      </c>
      <c r="G7" s="23">
        <f t="shared" si="1"/>
        <v>7222.222222</v>
      </c>
    </row>
    <row r="8" ht="14.25" customHeight="1">
      <c r="A8" s="9" t="s">
        <v>20</v>
      </c>
      <c r="B8" s="13" t="s">
        <v>28</v>
      </c>
      <c r="C8" s="14" t="s">
        <v>13</v>
      </c>
      <c r="D8" s="14"/>
      <c r="E8" s="14"/>
      <c r="F8" s="23">
        <f>B19</f>
        <v>500000</v>
      </c>
      <c r="G8" s="23">
        <f t="shared" si="1"/>
        <v>2777.777778</v>
      </c>
    </row>
    <row r="9" ht="14.25" customHeight="1">
      <c r="A9" s="9" t="s">
        <v>21</v>
      </c>
      <c r="B9" s="13" t="s">
        <v>29</v>
      </c>
      <c r="C9" s="14" t="s">
        <v>13</v>
      </c>
      <c r="D9" s="14"/>
      <c r="E9" s="16">
        <v>0.3</v>
      </c>
      <c r="F9" s="23">
        <f>(B19*E9)+500000</f>
        <v>650000</v>
      </c>
      <c r="G9" s="23">
        <f t="shared" si="1"/>
        <v>3611.111111</v>
      </c>
    </row>
    <row r="10" ht="14.25" customHeight="1">
      <c r="A10" s="9" t="s">
        <v>22</v>
      </c>
      <c r="B10" s="13" t="s">
        <v>33</v>
      </c>
      <c r="C10" s="14" t="s">
        <v>13</v>
      </c>
      <c r="D10" s="14"/>
      <c r="E10" s="14"/>
      <c r="F10" s="23">
        <f>B19</f>
        <v>500000</v>
      </c>
      <c r="G10" s="23">
        <f t="shared" si="1"/>
        <v>2777.777778</v>
      </c>
    </row>
    <row r="11" ht="14.25" customHeight="1">
      <c r="A11" s="9" t="s">
        <v>23</v>
      </c>
      <c r="B11" s="13" t="s">
        <v>39</v>
      </c>
      <c r="C11" s="14" t="s">
        <v>13</v>
      </c>
      <c r="D11" s="14"/>
      <c r="E11" s="14"/>
      <c r="F11" s="23">
        <v>500000.0</v>
      </c>
      <c r="G11" s="23">
        <f t="shared" si="1"/>
        <v>2777.777778</v>
      </c>
    </row>
    <row r="12" ht="14.25" customHeight="1"/>
    <row r="13" ht="14.25" customHeight="1"/>
    <row r="14" ht="14.25" customHeight="1">
      <c r="D14" s="32" t="s">
        <v>41</v>
      </c>
      <c r="E14" s="32">
        <v>45.0</v>
      </c>
    </row>
    <row r="15" ht="14.25" customHeight="1">
      <c r="D15" s="32" t="s">
        <v>42</v>
      </c>
      <c r="E15" s="32">
        <f>E14*4</f>
        <v>180</v>
      </c>
    </row>
    <row r="16" ht="14.25" customHeight="1">
      <c r="D16" s="32" t="s">
        <v>10</v>
      </c>
      <c r="E16" s="32" t="s">
        <v>46</v>
      </c>
    </row>
    <row r="17" ht="14.25" customHeight="1"/>
    <row r="18" ht="14.25" customHeight="1">
      <c r="A18" s="22" t="s">
        <v>49</v>
      </c>
      <c r="B18" s="22" t="s">
        <v>37</v>
      </c>
      <c r="C18" s="22" t="s">
        <v>50</v>
      </c>
      <c r="D18" s="22" t="s">
        <v>51</v>
      </c>
    </row>
    <row r="19" ht="14.25" customHeight="1">
      <c r="A19" s="33" t="s">
        <v>53</v>
      </c>
      <c r="B19" s="23">
        <v>500000.0</v>
      </c>
      <c r="C19" s="23">
        <v>700000.0</v>
      </c>
      <c r="D19" s="23">
        <v>500000.0</v>
      </c>
    </row>
    <row r="20" ht="14.25" customHeight="1">
      <c r="A20" s="33" t="s">
        <v>54</v>
      </c>
      <c r="B20" s="23">
        <v>900000.0</v>
      </c>
      <c r="C20" s="23">
        <v>1300000.0</v>
      </c>
      <c r="D20" s="23">
        <v>800000.0</v>
      </c>
    </row>
    <row r="21" ht="14.25" customHeight="1"/>
    <row r="22" ht="14.25" customHeight="1"/>
    <row r="23" ht="14.25" customHeight="1">
      <c r="H23" s="4" t="s">
        <v>57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2" t="s">
        <v>51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