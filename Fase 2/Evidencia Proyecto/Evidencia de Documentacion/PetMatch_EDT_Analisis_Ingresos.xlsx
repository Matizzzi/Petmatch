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DT PETMATCH" sheetId="1" state="visible" r:id="rId1"/>
    <sheet xmlns:r="http://schemas.openxmlformats.org/officeDocument/2006/relationships" name="COSTOS POR ROL" sheetId="2" state="visible" r:id="rId2"/>
    <sheet xmlns:r="http://schemas.openxmlformats.org/officeDocument/2006/relationships" name="RESUMEN COST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4"/>
    </font>
    <font>
      <i val="1"/>
      <sz val="10"/>
    </font>
    <font>
      <i val="1"/>
      <sz val="9"/>
    </font>
    <font>
      <b val="1"/>
      <color rgb="00FFFFFF"/>
      <sz val="11"/>
    </font>
    <font>
      <b val="1"/>
      <sz val="11"/>
    </font>
    <font>
      <b val="1"/>
      <sz val="12"/>
    </font>
    <font>
      <b val="1"/>
      <sz val="10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4" fillId="2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4" fillId="2" borderId="1" pivotButton="0" quotePrefix="0" xfId="0"/>
    <xf numFmtId="0" fontId="6" fillId="0" borderId="0" applyAlignment="1" pivotButton="0" quotePrefix="0" xfId="0">
      <alignment horizontal="center"/>
    </xf>
    <xf numFmtId="0" fontId="4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0" fontId="7" fillId="3" borderId="0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cols>
    <col width="18" customWidth="1" min="1" max="1"/>
    <col width="4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 ht="25" customHeight="1">
      <c r="A1" s="1" t="inlineStr">
        <is>
          <t>EDT - PETMATCH (Estructura de Descomposición de Tareas)</t>
        </is>
      </c>
    </row>
    <row r="2">
      <c r="A2" s="2" t="inlineStr">
        <is>
          <t>Plataforma de Geolocalización y Matching de Mascotas Perdidas</t>
        </is>
      </c>
    </row>
    <row r="3">
      <c r="A3" s="3" t="inlineStr">
        <is>
          <t>Fecha: 19 de septiembre de 2026 | Proyecto Capstone PTY4614</t>
        </is>
      </c>
    </row>
    <row r="5" ht="20" customHeight="1">
      <c r="A5" s="4" t="inlineStr">
        <is>
          <t>Fase</t>
        </is>
      </c>
      <c r="B5" s="4" t="inlineStr">
        <is>
          <t>Componente/Módulo</t>
        </is>
      </c>
      <c r="C5" s="4" t="inlineStr">
        <is>
          <t>Duración (días)</t>
        </is>
      </c>
      <c r="D5" s="4" t="inlineStr">
        <is>
          <t>Matías (Dev)</t>
        </is>
      </c>
      <c r="E5" s="4" t="inlineStr">
        <is>
          <t>César (SM)</t>
        </is>
      </c>
      <c r="F5" s="4" t="inlineStr">
        <is>
          <t>Moisés (PO)</t>
        </is>
      </c>
      <c r="G5" s="4" t="inlineStr">
        <is>
          <t>Total Horas</t>
        </is>
      </c>
    </row>
    <row r="6">
      <c r="A6" s="5" t="inlineStr">
        <is>
          <t>Fase 1: Análisis</t>
        </is>
      </c>
      <c r="B6" s="6" t="inlineStr">
        <is>
          <t>Kick Off + Acta Proyecto + Requerimientos</t>
        </is>
      </c>
      <c r="C6" s="5" t="n">
        <v>3</v>
      </c>
      <c r="D6" s="5" t="n">
        <v>12</v>
      </c>
      <c r="E6" s="5" t="n">
        <v>8</v>
      </c>
      <c r="F6" s="5" t="n">
        <v>4</v>
      </c>
      <c r="G6" s="5" t="n">
        <v>24</v>
      </c>
    </row>
    <row r="7">
      <c r="A7" s="7" t="inlineStr"/>
      <c r="B7" s="8" t="inlineStr">
        <is>
          <t>Definición de Arquitectura y Stack</t>
        </is>
      </c>
      <c r="C7" s="7" t="n">
        <v>2</v>
      </c>
      <c r="D7" s="7" t="n">
        <v>16</v>
      </c>
      <c r="E7" s="7" t="n">
        <v>4</v>
      </c>
      <c r="F7" s="7" t="n">
        <v>2</v>
      </c>
      <c r="G7" s="7" t="n">
        <v>22</v>
      </c>
    </row>
    <row r="8">
      <c r="A8" s="7" t="inlineStr"/>
      <c r="B8" s="8" t="inlineStr">
        <is>
          <t>Setup Infraestructura (Render, Neon, Vercel, Expo)</t>
        </is>
      </c>
      <c r="C8" s="7" t="n">
        <v>2</v>
      </c>
      <c r="D8" s="7" t="n">
        <v>16</v>
      </c>
      <c r="E8" s="7" t="n">
        <v>2</v>
      </c>
      <c r="F8" s="7" t="n">
        <v>1</v>
      </c>
      <c r="G8" s="7" t="n">
        <v>19</v>
      </c>
    </row>
    <row r="9">
      <c r="A9" s="5" t="inlineStr">
        <is>
          <t>Fase 1: Diseño</t>
        </is>
      </c>
      <c r="B9" s="6" t="inlineStr">
        <is>
          <t>Captura de Requerimientos Específicos</t>
        </is>
      </c>
      <c r="C9" s="5" t="n">
        <v>1</v>
      </c>
      <c r="D9" s="5" t="n">
        <v>8</v>
      </c>
      <c r="E9" s="5" t="n">
        <v>4</v>
      </c>
      <c r="F9" s="5" t="n">
        <v>2</v>
      </c>
      <c r="G9" s="5" t="n">
        <v>14</v>
      </c>
    </row>
    <row r="10">
      <c r="A10" s="7" t="inlineStr"/>
      <c r="B10" s="8" t="inlineStr">
        <is>
          <t>Análisis y Modelamientos (BD, API, UI)</t>
        </is>
      </c>
      <c r="C10" s="7" t="n">
        <v>2</v>
      </c>
      <c r="D10" s="7" t="n">
        <v>16</v>
      </c>
      <c r="E10" s="7" t="n">
        <v>4</v>
      </c>
      <c r="F10" s="7" t="n">
        <v>2</v>
      </c>
      <c r="G10" s="7" t="n">
        <v>22</v>
      </c>
    </row>
    <row r="11">
      <c r="A11" s="7" t="inlineStr"/>
      <c r="B11" s="8" t="inlineStr">
        <is>
          <t>Diseño Arquitectura 4+1 + Documentos</t>
        </is>
      </c>
      <c r="C11" s="7" t="n">
        <v>2</v>
      </c>
      <c r="D11" s="7" t="n">
        <v>16</v>
      </c>
      <c r="E11" s="7" t="n">
        <v>2</v>
      </c>
      <c r="F11" s="7" t="n">
        <v>4</v>
      </c>
      <c r="G11" s="7" t="n">
        <v>22</v>
      </c>
    </row>
    <row r="12">
      <c r="A12" s="5" t="inlineStr">
        <is>
          <t>Fase 1: Desarrollo</t>
        </is>
      </c>
      <c r="B12" s="6" t="inlineStr">
        <is>
          <t>Módulo auth.py (JWT, Login/Register)</t>
        </is>
      </c>
      <c r="C12" s="5" t="n">
        <v>3</v>
      </c>
      <c r="D12" s="5" t="n">
        <v>24</v>
      </c>
      <c r="E12" s="5" t="n">
        <v>0</v>
      </c>
      <c r="F12" s="5" t="n">
        <v>0</v>
      </c>
      <c r="G12" s="5" t="n">
        <v>24</v>
      </c>
    </row>
    <row r="13">
      <c r="A13" s="7" t="inlineStr"/>
      <c r="B13" s="8" t="inlineStr">
        <is>
          <t>Módulo alertas.py (CRUD, Upload fotos)</t>
        </is>
      </c>
      <c r="C13" s="7" t="n">
        <v>4</v>
      </c>
      <c r="D13" s="7" t="n">
        <v>32</v>
      </c>
      <c r="E13" s="7" t="n">
        <v>0</v>
      </c>
      <c r="F13" s="7" t="n">
        <v>0</v>
      </c>
      <c r="G13" s="7" t="n">
        <v>32</v>
      </c>
    </row>
    <row r="14">
      <c r="A14" s="7" t="inlineStr"/>
      <c r="B14" s="8" t="inlineStr">
        <is>
          <t>Módulo avistamientos.py (CRUD, PostGIS)</t>
        </is>
      </c>
      <c r="C14" s="7" t="n">
        <v>3</v>
      </c>
      <c r="D14" s="7" t="n">
        <v>24</v>
      </c>
      <c r="E14" s="7" t="n">
        <v>0</v>
      </c>
      <c r="F14" s="7" t="n">
        <v>0</v>
      </c>
      <c r="G14" s="7" t="n">
        <v>24</v>
      </c>
    </row>
    <row r="15">
      <c r="A15" s="7" t="inlineStr"/>
      <c r="B15" s="8" t="inlineStr">
        <is>
          <t>Módulo match.py (Algoritmo scoring)</t>
        </is>
      </c>
      <c r="C15" s="7" t="n">
        <v>4</v>
      </c>
      <c r="D15" s="7" t="n">
        <v>32</v>
      </c>
      <c r="E15" s="7" t="n">
        <v>0</v>
      </c>
      <c r="F15" s="7" t="n">
        <v>0</v>
      </c>
      <c r="G15" s="7" t="n">
        <v>32</v>
      </c>
    </row>
    <row r="16">
      <c r="A16" s="7" t="inlineStr"/>
      <c r="B16" s="8" t="inlineStr">
        <is>
          <t>Frontend Web (React + Leaflet)</t>
        </is>
      </c>
      <c r="C16" s="7" t="n">
        <v>5</v>
      </c>
      <c r="D16" s="7" t="n">
        <v>40</v>
      </c>
      <c r="E16" s="7" t="n">
        <v>0</v>
      </c>
      <c r="F16" s="7" t="n">
        <v>0</v>
      </c>
      <c r="G16" s="7" t="n">
        <v>40</v>
      </c>
    </row>
    <row r="17">
      <c r="A17" s="7" t="inlineStr"/>
      <c r="B17" s="8" t="inlineStr">
        <is>
          <t>App Móvil (Expo + Google Maps)</t>
        </is>
      </c>
      <c r="C17" s="7" t="n">
        <v>5</v>
      </c>
      <c r="D17" s="7" t="n">
        <v>40</v>
      </c>
      <c r="E17" s="7" t="n">
        <v>0</v>
      </c>
      <c r="F17" s="7" t="n">
        <v>0</v>
      </c>
      <c r="G17" s="7" t="n">
        <v>40</v>
      </c>
    </row>
    <row r="18">
      <c r="A18" s="7" t="inlineStr"/>
      <c r="B18" s="8" t="inlineStr">
        <is>
          <t>Integración Backend + BD + Tests</t>
        </is>
      </c>
      <c r="C18" s="7" t="n">
        <v>3</v>
      </c>
      <c r="D18" s="7" t="n">
        <v>24</v>
      </c>
      <c r="E18" s="7" t="n">
        <v>0</v>
      </c>
      <c r="F18" s="7" t="n">
        <v>4</v>
      </c>
      <c r="G18" s="7" t="n">
        <v>28</v>
      </c>
    </row>
    <row r="19">
      <c r="A19" s="5" t="inlineStr">
        <is>
          <t>Fase 1: Cierre</t>
        </is>
      </c>
      <c r="B19" s="6" t="inlineStr">
        <is>
          <t>Pruebas Unitarias (pytest)</t>
        </is>
      </c>
      <c r="C19" s="5" t="n">
        <v>2</v>
      </c>
      <c r="D19" s="5" t="n">
        <v>16</v>
      </c>
      <c r="E19" s="5" t="n">
        <v>0</v>
      </c>
      <c r="F19" s="5" t="n">
        <v>0</v>
      </c>
      <c r="G19" s="5" t="n">
        <v>16</v>
      </c>
    </row>
    <row r="20">
      <c r="A20" s="7" t="inlineStr"/>
      <c r="B20" s="8" t="inlineStr">
        <is>
          <t>Pruebas Integración (Postman)</t>
        </is>
      </c>
      <c r="C20" s="7" t="n">
        <v>2</v>
      </c>
      <c r="D20" s="7" t="n">
        <v>16</v>
      </c>
      <c r="E20" s="7" t="n">
        <v>2</v>
      </c>
      <c r="F20" s="7" t="n">
        <v>0</v>
      </c>
      <c r="G20" s="7" t="n">
        <v>18</v>
      </c>
    </row>
    <row r="21">
      <c r="A21" s="7" t="inlineStr"/>
      <c r="B21" s="8" t="inlineStr">
        <is>
          <t>Documentación Técnica Final</t>
        </is>
      </c>
      <c r="C21" s="7" t="n">
        <v>2</v>
      </c>
      <c r="D21" s="7" t="n">
        <v>8</v>
      </c>
      <c r="E21" s="7" t="n">
        <v>4</v>
      </c>
      <c r="F21" s="7" t="n">
        <v>2</v>
      </c>
      <c r="G21" s="7" t="n">
        <v>14</v>
      </c>
    </row>
    <row r="22">
      <c r="A22" s="7" t="inlineStr"/>
      <c r="B22" s="8" t="inlineStr">
        <is>
          <t>Retrospectiva + Cierre Sprint</t>
        </is>
      </c>
      <c r="C22" s="7" t="n">
        <v>1</v>
      </c>
      <c r="D22" s="7" t="n">
        <v>4</v>
      </c>
      <c r="E22" s="7" t="n">
        <v>4</v>
      </c>
      <c r="F22" s="7" t="n">
        <v>4</v>
      </c>
      <c r="G22" s="7" t="n">
        <v>12</v>
      </c>
    </row>
    <row r="23">
      <c r="A23" s="5" t="inlineStr">
        <is>
          <t>Fase 2: Documentación</t>
        </is>
      </c>
      <c r="B23" s="6" t="inlineStr">
        <is>
          <t>Documento de Arquitectura (DAS)</t>
        </is>
      </c>
      <c r="C23" s="5" t="n">
        <v>1</v>
      </c>
      <c r="D23" s="5" t="n">
        <v>16</v>
      </c>
      <c r="E23" s="5" t="n">
        <v>2</v>
      </c>
      <c r="F23" s="5" t="n">
        <v>2</v>
      </c>
      <c r="G23" s="5" t="n">
        <v>20</v>
      </c>
    </row>
    <row r="24">
      <c r="A24" s="7" t="inlineStr"/>
      <c r="B24" s="8" t="inlineStr">
        <is>
          <t>Plan de Pruebas (4 semanas)</t>
        </is>
      </c>
      <c r="C24" s="7" t="n">
        <v>1</v>
      </c>
      <c r="D24" s="7" t="n">
        <v>8</v>
      </c>
      <c r="E24" s="7" t="n">
        <v>2</v>
      </c>
      <c r="F24" s="7" t="n">
        <v>2</v>
      </c>
      <c r="G24" s="7" t="n">
        <v>12</v>
      </c>
    </row>
    <row r="25">
      <c r="A25" s="7" t="inlineStr"/>
      <c r="B25" s="8" t="inlineStr">
        <is>
          <t>40 Casos de Prueba Detallados</t>
        </is>
      </c>
      <c r="C25" s="7" t="n">
        <v>2</v>
      </c>
      <c r="D25" s="7" t="n">
        <v>16</v>
      </c>
      <c r="E25" s="7" t="n">
        <v>2</v>
      </c>
      <c r="F25" s="7" t="n">
        <v>2</v>
      </c>
      <c r="G25" s="7" t="n">
        <v>20</v>
      </c>
    </row>
    <row r="26">
      <c r="A26" s="7" t="inlineStr"/>
      <c r="B26" s="8" t="inlineStr">
        <is>
          <t>Registro de Defectos (20 items)</t>
        </is>
      </c>
      <c r="C26" s="7" t="n">
        <v>1</v>
      </c>
      <c r="D26" s="7" t="n">
        <v>8</v>
      </c>
      <c r="E26" s="7" t="n">
        <v>1</v>
      </c>
      <c r="F26" s="7" t="n">
        <v>1</v>
      </c>
      <c r="G26" s="7" t="n">
        <v>10</v>
      </c>
    </row>
    <row r="27">
      <c r="A27" s="5" t="inlineStr">
        <is>
          <t>Fase 2: Análisis</t>
        </is>
      </c>
      <c r="B27" s="6" t="inlineStr">
        <is>
          <t>Informe de Avance Fase 2</t>
        </is>
      </c>
      <c r="C27" s="5" t="n">
        <v>1</v>
      </c>
      <c r="D27" s="5" t="n">
        <v>8</v>
      </c>
      <c r="E27" s="5" t="n">
        <v>4</v>
      </c>
      <c r="F27" s="5" t="n">
        <v>4</v>
      </c>
      <c r="G27" s="5" t="n">
        <v>16</v>
      </c>
    </row>
    <row r="28">
      <c r="A28" s="7" t="inlineStr"/>
      <c r="B28" s="8" t="inlineStr">
        <is>
          <t>Análisis de Retrospectiva</t>
        </is>
      </c>
      <c r="C28" s="7" t="n">
        <v>1</v>
      </c>
      <c r="D28" s="7" t="n">
        <v>4</v>
      </c>
      <c r="E28" s="7" t="n">
        <v>4</v>
      </c>
      <c r="F28" s="7" t="n">
        <v>4</v>
      </c>
      <c r="G28" s="7" t="n">
        <v>12</v>
      </c>
    </row>
    <row r="29">
      <c r="A29" s="5" t="inlineStr">
        <is>
          <t>Fase 3: Optimización</t>
        </is>
      </c>
      <c r="B29" s="6" t="inlineStr">
        <is>
          <t>Resolver 3 Defectos Críticos</t>
        </is>
      </c>
      <c r="C29" s="5" t="n">
        <v>3</v>
      </c>
      <c r="D29" s="5" t="n">
        <v>24</v>
      </c>
      <c r="E29" s="5" t="n">
        <v>0</v>
      </c>
      <c r="F29" s="5" t="n">
        <v>0</v>
      </c>
      <c r="G29" s="5" t="n">
        <v>24</v>
      </c>
    </row>
    <row r="30">
      <c r="A30" s="7" t="inlineStr"/>
      <c r="B30" s="8" t="inlineStr">
        <is>
          <t>Optimización de BD (índices, queries)</t>
        </is>
      </c>
      <c r="C30" s="7" t="n">
        <v>2</v>
      </c>
      <c r="D30" s="7" t="n">
        <v>16</v>
      </c>
      <c r="E30" s="7" t="n">
        <v>0</v>
      </c>
      <c r="F30" s="7" t="n">
        <v>0</v>
      </c>
      <c r="G30" s="7" t="n">
        <v>16</v>
      </c>
    </row>
    <row r="31">
      <c r="A31" s="7" t="inlineStr"/>
      <c r="B31" s="8" t="inlineStr">
        <is>
          <t>Build Producción Móvil (iOS/Android)</t>
        </is>
      </c>
      <c r="C31" s="7" t="n">
        <v>2</v>
      </c>
      <c r="D31" s="7" t="n">
        <v>16</v>
      </c>
      <c r="E31" s="7" t="n">
        <v>0</v>
      </c>
      <c r="F31" s="7" t="n">
        <v>0</v>
      </c>
      <c r="G31" s="7" t="n">
        <v>16</v>
      </c>
    </row>
    <row r="32">
      <c r="A32" s="5" t="inlineStr">
        <is>
          <t>Fase 3: Validación</t>
        </is>
      </c>
      <c r="B32" s="6" t="inlineStr">
        <is>
          <t>Ejecución Suite de Pruebas Completa</t>
        </is>
      </c>
      <c r="C32" s="5" t="n">
        <v>3</v>
      </c>
      <c r="D32" s="5" t="n">
        <v>24</v>
      </c>
      <c r="E32" s="5" t="n">
        <v>4</v>
      </c>
      <c r="F32" s="5" t="n">
        <v>0</v>
      </c>
      <c r="G32" s="5" t="n">
        <v>28</v>
      </c>
    </row>
    <row r="33">
      <c r="A33" s="7" t="inlineStr"/>
      <c r="B33" s="8" t="inlineStr">
        <is>
          <t>Manual Técnico y Guía Despliegue</t>
        </is>
      </c>
      <c r="C33" s="7" t="n">
        <v>2</v>
      </c>
      <c r="D33" s="7" t="n">
        <v>8</v>
      </c>
      <c r="E33" s="7" t="n">
        <v>2</v>
      </c>
      <c r="F33" s="7" t="n">
        <v>2</v>
      </c>
      <c r="G33" s="7" t="n">
        <v>12</v>
      </c>
    </row>
    <row r="34">
      <c r="A34" s="7" t="inlineStr"/>
      <c r="B34" s="8" t="inlineStr">
        <is>
          <t>Demo Final + Presentación</t>
        </is>
      </c>
      <c r="C34" s="7" t="n">
        <v>1</v>
      </c>
      <c r="D34" s="7" t="n">
        <v>4</v>
      </c>
      <c r="E34" s="7" t="n">
        <v>4</v>
      </c>
      <c r="F34" s="7" t="n">
        <v>4</v>
      </c>
      <c r="G34" s="7" t="n">
        <v>12</v>
      </c>
    </row>
    <row r="35" ht="20" customHeight="1">
      <c r="A35" s="9" t="inlineStr">
        <is>
          <t>TOTALES</t>
        </is>
      </c>
      <c r="B35" s="9" t="inlineStr"/>
      <c r="C35" s="9">
        <f>SUM(C6:C34)</f>
        <v/>
      </c>
      <c r="D35" s="9">
        <f>SUM(D6:D34)</f>
        <v/>
      </c>
      <c r="E35" s="9">
        <f>SUM(E6:E34)</f>
        <v/>
      </c>
      <c r="F35" s="9">
        <f>SUM(F6:F34)</f>
        <v/>
      </c>
      <c r="G35" s="9">
        <f>SUM(G6:G34)</f>
        <v/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  <col width="25" customWidth="1" min="3" max="3"/>
    <col width="20" customWidth="1" min="4" max="4"/>
  </cols>
  <sheetData>
    <row r="1" ht="20" customHeight="1">
      <c r="A1" s="10" t="inlineStr">
        <is>
          <t>ANÁLISIS DE COSTOS Y INGRESOS - PETMATCH</t>
        </is>
      </c>
    </row>
    <row r="3">
      <c r="A3" s="11" t="inlineStr">
        <is>
          <t>SIGLA</t>
        </is>
      </c>
      <c r="B3" s="11" t="inlineStr">
        <is>
          <t>Rol / Nombre</t>
        </is>
      </c>
      <c r="C3" s="11" t="inlineStr">
        <is>
          <t>Experiencia</t>
        </is>
      </c>
      <c r="D3" s="11" t="inlineStr">
        <is>
          <t>Sueldo Mensual</t>
        </is>
      </c>
      <c r="E3" s="11" t="inlineStr">
        <is>
          <t>Costo/Hora</t>
        </is>
      </c>
    </row>
    <row r="4">
      <c r="A4" s="12" t="inlineStr">
        <is>
          <t>MS</t>
        </is>
      </c>
      <c r="B4" s="13" t="inlineStr">
        <is>
          <t>Matías Santelises (Developer Full-Stack)</t>
        </is>
      </c>
      <c r="C4" s="12" t="inlineStr">
        <is>
          <t>Junior - en progreso</t>
        </is>
      </c>
      <c r="D4" s="12" t="inlineStr">
        <is>
          <t>$700,000</t>
        </is>
      </c>
      <c r="E4" s="12" t="inlineStr">
        <is>
          <t>$3,889</t>
        </is>
      </c>
    </row>
    <row r="5">
      <c r="A5" s="12" t="inlineStr">
        <is>
          <t>CS</t>
        </is>
      </c>
      <c r="B5" s="13" t="inlineStr">
        <is>
          <t>César Soto (Scrum Master)</t>
        </is>
      </c>
      <c r="C5" s="12" t="inlineStr">
        <is>
          <t>Senior (50% dedicación)</t>
        </is>
      </c>
      <c r="D5" s="12" t="inlineStr">
        <is>
          <t>$1,200,000</t>
        </is>
      </c>
      <c r="E5" s="12" t="inlineStr">
        <is>
          <t>$3,333</t>
        </is>
      </c>
    </row>
    <row r="6">
      <c r="A6" s="12" t="inlineStr">
        <is>
          <t>ML</t>
        </is>
      </c>
      <c r="B6" s="13" t="inlineStr">
        <is>
          <t>Moisés Leyton (Product Owner)</t>
        </is>
      </c>
      <c r="C6" s="12" t="inlineStr">
        <is>
          <t>Senior (30% dedicación)</t>
        </is>
      </c>
      <c r="D6" s="12" t="inlineStr">
        <is>
          <t>$1,300,000</t>
        </is>
      </c>
      <c r="E6" s="12" t="inlineStr">
        <is>
          <t>$2,167</t>
        </is>
      </c>
    </row>
    <row r="9">
      <c r="A9" t="inlineStr">
        <is>
          <t>Horas Semanales</t>
        </is>
      </c>
      <c r="B9" t="inlineStr">
        <is>
          <t>40 horas</t>
        </is>
      </c>
    </row>
    <row r="10">
      <c r="A10" t="inlineStr">
        <is>
          <t>Horas Mensuales</t>
        </is>
      </c>
      <c r="B10" t="inlineStr">
        <is>
          <t>160 horas</t>
        </is>
      </c>
    </row>
    <row r="11">
      <c r="A11" t="inlineStr">
        <is>
          <t>Cálculo</t>
        </is>
      </c>
      <c r="B11" t="inlineStr">
        <is>
          <t>Costo/Hora = Sueldo Mensual / 160 hrs</t>
        </is>
      </c>
    </row>
    <row r="14">
      <c r="A14" s="14" t="inlineStr">
        <is>
          <t>ANÁLISIS DE INGRESOS EN LA INDUSTRIA (Fuente: www.mifuturo.cl)</t>
        </is>
      </c>
    </row>
    <row r="15">
      <c r="A15" s="9" t="inlineStr">
        <is>
          <t>Rol</t>
        </is>
      </c>
      <c r="B15" s="9" t="inlineStr">
        <is>
          <t>Primer Año</t>
        </is>
      </c>
      <c r="C15" s="9" t="inlineStr">
        <is>
          <t>Con Experiencia (+2 años)</t>
        </is>
      </c>
      <c r="D15" s="9" t="inlineStr">
        <is>
          <t>Diferencia</t>
        </is>
      </c>
    </row>
    <row r="16">
      <c r="A16" s="15" t="inlineStr">
        <is>
          <t>Programador Junior</t>
        </is>
      </c>
      <c r="B16" s="15" t="inlineStr">
        <is>
          <t>$500,000</t>
        </is>
      </c>
      <c r="C16" s="15" t="inlineStr">
        <is>
          <t>$900,000</t>
        </is>
      </c>
      <c r="D16" s="15" t="inlineStr">
        <is>
          <t>+$400,000 (80%)</t>
        </is>
      </c>
    </row>
    <row r="17">
      <c r="A17" s="15" t="inlineStr">
        <is>
          <t>Ingeniero (Developer)</t>
        </is>
      </c>
      <c r="B17" s="15" t="inlineStr">
        <is>
          <t>$700,000</t>
        </is>
      </c>
      <c r="C17" s="15" t="inlineStr">
        <is>
          <t>$1,300,000</t>
        </is>
      </c>
      <c r="D17" s="15" t="inlineStr">
        <is>
          <t>+$600,000 (86%)</t>
        </is>
      </c>
    </row>
    <row r="18">
      <c r="A18" s="15" t="inlineStr">
        <is>
          <t>Diseñador</t>
        </is>
      </c>
      <c r="B18" s="15" t="inlineStr">
        <is>
          <t>$500,000</t>
        </is>
      </c>
      <c r="C18" s="15" t="inlineStr">
        <is>
          <t>$800,000</t>
        </is>
      </c>
      <c r="D18" s="15" t="inlineStr">
        <is>
          <t>+$300,000 (60%)</t>
        </is>
      </c>
    </row>
    <row r="19">
      <c r="A19" s="15" t="inlineStr">
        <is>
          <t>Scrum Master/Líder</t>
        </is>
      </c>
      <c r="B19" s="15" t="inlineStr">
        <is>
          <t>$800,000</t>
        </is>
      </c>
      <c r="C19" s="15" t="inlineStr">
        <is>
          <t>$1,500,000</t>
        </is>
      </c>
      <c r="D19" s="15" t="inlineStr">
        <is>
          <t>+$700,000 (88%)</t>
        </is>
      </c>
    </row>
  </sheetData>
  <mergeCells count="2">
    <mergeCell ref="A1:D1"/>
    <mergeCell ref="A14:D1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25" customWidth="1" min="3" max="3"/>
  </cols>
  <sheetData>
    <row r="1">
      <c r="A1" s="10" t="inlineStr">
        <is>
          <t>RESUMEN DE COSTOS POR COMPONENTE - PETMATCH</t>
        </is>
      </c>
    </row>
    <row r="3">
      <c r="A3" s="9" t="inlineStr">
        <is>
          <t>Componente/Módulo</t>
        </is>
      </c>
      <c r="B3" s="9" t="inlineStr">
        <is>
          <t>Horas Estimadas</t>
        </is>
      </c>
      <c r="C3" s="9" t="inlineStr">
        <is>
          <t>Costo Total (USD equiv.)</t>
        </is>
      </c>
    </row>
    <row r="4">
      <c r="A4" s="13" t="inlineStr">
        <is>
          <t>Backend - auth.py</t>
        </is>
      </c>
      <c r="B4" s="12" t="n">
        <v>24</v>
      </c>
      <c r="C4" s="12" t="inlineStr">
        <is>
          <t>$93,432</t>
        </is>
      </c>
    </row>
    <row r="5">
      <c r="A5" s="13" t="inlineStr">
        <is>
          <t>Backend - alertas.py</t>
        </is>
      </c>
      <c r="B5" s="12" t="n">
        <v>32</v>
      </c>
      <c r="C5" s="12" t="inlineStr">
        <is>
          <t>$124,576</t>
        </is>
      </c>
    </row>
    <row r="6">
      <c r="A6" s="13" t="inlineStr">
        <is>
          <t>Backend - avistamientos.py</t>
        </is>
      </c>
      <c r="B6" s="12" t="n">
        <v>24</v>
      </c>
      <c r="C6" s="12" t="inlineStr">
        <is>
          <t>$93,432</t>
        </is>
      </c>
    </row>
    <row r="7">
      <c r="A7" s="13" t="inlineStr">
        <is>
          <t>Backend - match.py</t>
        </is>
      </c>
      <c r="B7" s="12" t="n">
        <v>32</v>
      </c>
      <c r="C7" s="12" t="inlineStr">
        <is>
          <t>$124,576</t>
        </is>
      </c>
    </row>
    <row r="8">
      <c r="A8" s="13" t="inlineStr">
        <is>
          <t>Backend - integración</t>
        </is>
      </c>
      <c r="B8" s="12" t="n">
        <v>28</v>
      </c>
      <c r="C8" s="12" t="inlineStr">
        <is>
          <t>$108,892</t>
        </is>
      </c>
    </row>
    <row r="9">
      <c r="A9" s="13" t="inlineStr">
        <is>
          <t>Frontend Web (React + Leaflet)</t>
        </is>
      </c>
      <c r="B9" s="12" t="n">
        <v>40</v>
      </c>
      <c r="C9" s="12" t="inlineStr">
        <is>
          <t>$155,560</t>
        </is>
      </c>
    </row>
    <row r="10">
      <c r="A10" s="13" t="inlineStr">
        <is>
          <t>App Móvil (Expo + Google Maps)</t>
        </is>
      </c>
      <c r="B10" s="12" t="n">
        <v>40</v>
      </c>
      <c r="C10" s="12" t="inlineStr">
        <is>
          <t>$155,560</t>
        </is>
      </c>
    </row>
    <row r="11">
      <c r="A11" s="13" t="inlineStr">
        <is>
          <t>Base de Datos PostgreSQL + PostGIS</t>
        </is>
      </c>
      <c r="B11" s="12" t="n">
        <v>16</v>
      </c>
      <c r="C11" s="12" t="inlineStr">
        <is>
          <t>$62,224</t>
        </is>
      </c>
    </row>
    <row r="12">
      <c r="A12" s="13" t="inlineStr">
        <is>
          <t>Pruebas Unitarias</t>
        </is>
      </c>
      <c r="B12" s="12" t="n">
        <v>16</v>
      </c>
      <c r="C12" s="12" t="inlineStr">
        <is>
          <t>$62,224</t>
        </is>
      </c>
    </row>
    <row r="13">
      <c r="A13" s="13" t="inlineStr">
        <is>
          <t>Pruebas Integración</t>
        </is>
      </c>
      <c r="B13" s="12" t="n">
        <v>18</v>
      </c>
      <c r="C13" s="12" t="inlineStr">
        <is>
          <t>$70,002</t>
        </is>
      </c>
    </row>
    <row r="14">
      <c r="A14" s="13" t="inlineStr">
        <is>
          <t>Documentación Técnica</t>
        </is>
      </c>
      <c r="B14" s="12" t="n">
        <v>14</v>
      </c>
      <c r="C14" s="12" t="inlineStr">
        <is>
          <t>$54,446</t>
        </is>
      </c>
    </row>
    <row r="15">
      <c r="A15" s="13" t="inlineStr">
        <is>
          <t>Documentación Arquitectura (DAS)</t>
        </is>
      </c>
      <c r="B15" s="12" t="n">
        <v>20</v>
      </c>
      <c r="C15" s="12" t="inlineStr">
        <is>
          <t>$77,780</t>
        </is>
      </c>
    </row>
    <row r="16">
      <c r="A16" s="13" t="inlineStr">
        <is>
          <t>Plan de Pruebas</t>
        </is>
      </c>
      <c r="B16" s="12" t="n">
        <v>12</v>
      </c>
      <c r="C16" s="12" t="inlineStr">
        <is>
          <t>$46,668</t>
        </is>
      </c>
    </row>
    <row r="17">
      <c r="A17" s="13" t="inlineStr">
        <is>
          <t>Casos de Prueba</t>
        </is>
      </c>
      <c r="B17" s="12" t="n">
        <v>20</v>
      </c>
      <c r="C17" s="12" t="inlineStr">
        <is>
          <t>$77,780</t>
        </is>
      </c>
    </row>
    <row r="18">
      <c r="A18" s="13" t="inlineStr">
        <is>
          <t>Registro de Defectos</t>
        </is>
      </c>
      <c r="B18" s="12" t="n">
        <v>10</v>
      </c>
      <c r="C18" s="12" t="inlineStr">
        <is>
          <t>$38,890</t>
        </is>
      </c>
    </row>
    <row r="19">
      <c r="A19" s="13" t="inlineStr">
        <is>
          <t>Informe Avance Fase 2</t>
        </is>
      </c>
      <c r="B19" s="12" t="n">
        <v>16</v>
      </c>
      <c r="C19" s="12" t="inlineStr">
        <is>
          <t>$62,224</t>
        </is>
      </c>
    </row>
    <row r="20">
      <c r="A20" s="9" t="inlineStr">
        <is>
          <t>TOTAL</t>
        </is>
      </c>
      <c r="B20" s="9" t="n">
        <v>362</v>
      </c>
      <c r="C20" s="9" t="inlineStr">
        <is>
          <t>$1,407,856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2026-09-27T19:31:58Z</dcterms:created>
  <dcterms:modified xmlns:dcterms="http://purl.org/dc/terms/" xmlns:xsi="http://www.w3.org/2001/XMLSchema-instance" xsi:type="dcterms:W3CDTF">2026-09-27T19:31:58Z</dcterms:modified>
</cp:coreProperties>
</file>